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repos\VCB Field Loc Export\AutoAssign\"/>
    </mc:Choice>
  </mc:AlternateContent>
  <bookViews>
    <workbookView xWindow="0" yWindow="0" windowWidth="25095" windowHeight="8850"/>
  </bookViews>
  <sheets>
    <sheet name="gamesToAssign" sheetId="1" r:id="rId1"/>
    <sheet name="RequestCount" sheetId="2" r:id="rId2"/>
  </sheets>
  <definedNames>
    <definedName name="_xlnm._FilterDatabase" localSheetId="0" hidden="1">gamesToAssign!$A$1:$Z$51</definedName>
    <definedName name="_xlnm._FilterDatabase" localSheetId="1" hidden="1">RequestCount!$A$1:$F$44</definedName>
  </definedNames>
  <calcPr calcId="0"/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2" i="2"/>
</calcChain>
</file>

<file path=xl/sharedStrings.xml><?xml version="1.0" encoding="utf-8"?>
<sst xmlns="http://schemas.openxmlformats.org/spreadsheetml/2006/main" count="537" uniqueCount="99">
  <si>
    <t>Age Group</t>
  </si>
  <si>
    <t>Date</t>
  </si>
  <si>
    <t>Time</t>
  </si>
  <si>
    <t>Venue</t>
  </si>
  <si>
    <t>Position</t>
  </si>
  <si>
    <t>Req1</t>
  </si>
  <si>
    <t>Req2</t>
  </si>
  <si>
    <t>Req3</t>
  </si>
  <si>
    <t>Req4</t>
  </si>
  <si>
    <t>Req5</t>
  </si>
  <si>
    <t>Req6</t>
  </si>
  <si>
    <t>Req7</t>
  </si>
  <si>
    <t>Req8</t>
  </si>
  <si>
    <t>Req9</t>
  </si>
  <si>
    <t>Req10</t>
  </si>
  <si>
    <t>Req11</t>
  </si>
  <si>
    <t>Req12</t>
  </si>
  <si>
    <t>Req13</t>
  </si>
  <si>
    <t>Req14</t>
  </si>
  <si>
    <t>Req15</t>
  </si>
  <si>
    <t>Req16</t>
  </si>
  <si>
    <t>Req17</t>
  </si>
  <si>
    <t>Req18</t>
  </si>
  <si>
    <t>Req19</t>
  </si>
  <si>
    <t>Req20</t>
  </si>
  <si>
    <t>Majors</t>
  </si>
  <si>
    <t>Hillcrest Park</t>
  </si>
  <si>
    <t>Minors A</t>
  </si>
  <si>
    <t>May 1 2026</t>
  </si>
  <si>
    <t>Oak Park</t>
  </si>
  <si>
    <t>Plate Umpire</t>
  </si>
  <si>
    <t>Fairweather, Cole</t>
  </si>
  <si>
    <t>Hatchard, Ethan</t>
  </si>
  <si>
    <t>Lopez, Hector</t>
  </si>
  <si>
    <t>McTaggart, Leo</t>
  </si>
  <si>
    <t>Base Umpire</t>
  </si>
  <si>
    <t>Minors B</t>
  </si>
  <si>
    <t>May 2 2026</t>
  </si>
  <si>
    <t>Challenger</t>
  </si>
  <si>
    <t>Bayntun, Liam</t>
  </si>
  <si>
    <t>Douglas, James</t>
  </si>
  <si>
    <t>Hiemstra, Sebastian</t>
  </si>
  <si>
    <t>Lee, Peyton</t>
  </si>
  <si>
    <t>MacDonald-Skala, Viggo</t>
  </si>
  <si>
    <t>Sandhu, Jordan</t>
  </si>
  <si>
    <t>Wong, Sam</t>
  </si>
  <si>
    <t>Zeck, Alex</t>
  </si>
  <si>
    <t>Dolgin, Erez</t>
  </si>
  <si>
    <t>Stebbings, Colin</t>
  </si>
  <si>
    <t>Forbes, Sid</t>
  </si>
  <si>
    <t>Rose, John</t>
  </si>
  <si>
    <t>Columbia Park</t>
  </si>
  <si>
    <t>Morrison, Oscar</t>
  </si>
  <si>
    <t>Lee, Paul</t>
  </si>
  <si>
    <t>McCulloch, Oswyn</t>
  </si>
  <si>
    <t>Bellefeuille, Nicholas</t>
  </si>
  <si>
    <t>May 3 2026</t>
  </si>
  <si>
    <t>Arai, Tatsuki</t>
  </si>
  <si>
    <t>Black, Brooks</t>
  </si>
  <si>
    <t>Massel, Jacob</t>
  </si>
  <si>
    <t>Milton, Rigel</t>
  </si>
  <si>
    <t>Ross, Connor</t>
  </si>
  <si>
    <t>Wong, Declan</t>
  </si>
  <si>
    <t>Chuang, Kayden</t>
  </si>
  <si>
    <t>Ferris, Easton</t>
  </si>
  <si>
    <t>Pettersson, Oskar</t>
  </si>
  <si>
    <t>Sato, Zain</t>
  </si>
  <si>
    <t>Morris, George</t>
  </si>
  <si>
    <t>Ozaki, Jin</t>
  </si>
  <si>
    <t>Huang, Daniel</t>
  </si>
  <si>
    <t>Suto, Sam</t>
  </si>
  <si>
    <t>Bick, Jonathan (Yoni)</t>
  </si>
  <si>
    <t>Mah Ming, Matthew</t>
  </si>
  <si>
    <t>May 4 2026</t>
  </si>
  <si>
    <t>Froelich, Ari</t>
  </si>
  <si>
    <t>Hui, Sawyer</t>
  </si>
  <si>
    <t>Jackson, Caleb</t>
  </si>
  <si>
    <t>Meichenbaum, Reid</t>
  </si>
  <si>
    <t>Tsang, Aaron</t>
  </si>
  <si>
    <t>May 5 2026</t>
  </si>
  <si>
    <t>Waddell, Matthew</t>
  </si>
  <si>
    <t>May 6 2026</t>
  </si>
  <si>
    <t>Jeffcoatt, Ryan</t>
  </si>
  <si>
    <t>May 7 2026</t>
  </si>
  <si>
    <t>May 8 2026</t>
  </si>
  <si>
    <t>Name</t>
  </si>
  <si>
    <t>AssignrId</t>
  </si>
  <si>
    <t>Assigned</t>
  </si>
  <si>
    <t>No requests (I can do this one)</t>
  </si>
  <si>
    <t>Jordan Davis (not requested, but Assignr says he's available)</t>
  </si>
  <si>
    <t>Peyton Lee, Massel, Jacob, Osaki, Jin</t>
  </si>
  <si>
    <t>McCulloch, Oswyn, Arai, Tatsuki</t>
  </si>
  <si>
    <t>Lee, Peyton, Wong, Sam, Rose, John, Pettersson, Oskar</t>
  </si>
  <si>
    <t>Caleb Jackson</t>
  </si>
  <si>
    <t>Massel, Jacob, Pettersson, Oskar, Ozaki, Jin, Sato, Zain, Black, Brooks, Arai, Tatsuki</t>
  </si>
  <si>
    <t>Previous assignments</t>
  </si>
  <si>
    <t>Requests made for this period</t>
  </si>
  <si>
    <t>Assigned games</t>
  </si>
  <si>
    <t>If 0 assignments, who was assigned to their requests?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</si>
</sst>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1"/>
  <sheetViews>
    <sheetView tabSelected="1" workbookViewId="0">
      <selection activeCell="F9" sqref="F9"/>
    </sheetView>
  </sheetViews>
  <sheetFormatPr defaultRowHeight="15" x14ac:dyDescent="0.25"/>
  <cols>
    <col min="1" max="1" width="10.28515625" bestFit="1" customWidth="1"/>
    <col min="2" max="2" width="10.5703125" bestFit="1" customWidth="1"/>
    <col min="3" max="3" width="9" bestFit="1" customWidth="1"/>
    <col min="4" max="4" width="13.85546875" bestFit="1" customWidth="1"/>
    <col min="5" max="5" width="12.5703125" bestFit="1" customWidth="1"/>
    <col min="6" max="6" width="55.42578125" bestFit="1" customWidth="1"/>
    <col min="7" max="7" width="22.5703125" bestFit="1" customWidth="1"/>
    <col min="8" max="8" width="18.85546875" bestFit="1" customWidth="1"/>
    <col min="9" max="13" width="22.5703125" bestFit="1" customWidth="1"/>
    <col min="14" max="14" width="17.42578125" bestFit="1" customWidth="1"/>
    <col min="15" max="15" width="13.28515625" bestFit="1" customWidth="1"/>
    <col min="16" max="16" width="15.42578125" bestFit="1" customWidth="1"/>
    <col min="17" max="18" width="13.2851562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87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6" x14ac:dyDescent="0.25">
      <c r="A2" t="s">
        <v>27</v>
      </c>
      <c r="B2" t="s">
        <v>28</v>
      </c>
      <c r="C2" s="1">
        <v>0.75</v>
      </c>
      <c r="D2" t="s">
        <v>29</v>
      </c>
      <c r="E2" t="s">
        <v>30</v>
      </c>
      <c r="F2" t="s">
        <v>34</v>
      </c>
      <c r="G2" t="s">
        <v>31</v>
      </c>
      <c r="H2" t="s">
        <v>32</v>
      </c>
      <c r="I2" t="s">
        <v>33</v>
      </c>
      <c r="J2" t="s">
        <v>34</v>
      </c>
    </row>
    <row r="3" spans="1:26" x14ac:dyDescent="0.25">
      <c r="A3" t="s">
        <v>27</v>
      </c>
      <c r="B3" t="s">
        <v>28</v>
      </c>
      <c r="C3" s="1">
        <v>0.75</v>
      </c>
      <c r="D3" t="s">
        <v>29</v>
      </c>
      <c r="E3" t="s">
        <v>35</v>
      </c>
      <c r="F3" t="s">
        <v>33</v>
      </c>
      <c r="G3" t="s">
        <v>32</v>
      </c>
      <c r="H3" t="s">
        <v>34</v>
      </c>
    </row>
    <row r="4" spans="1:26" x14ac:dyDescent="0.25">
      <c r="A4" t="s">
        <v>36</v>
      </c>
      <c r="B4" t="s">
        <v>37</v>
      </c>
      <c r="C4" s="1">
        <v>0.45833333333333331</v>
      </c>
      <c r="D4" t="s">
        <v>38</v>
      </c>
      <c r="E4" t="s">
        <v>30</v>
      </c>
      <c r="F4" t="s">
        <v>42</v>
      </c>
      <c r="G4" t="s">
        <v>39</v>
      </c>
      <c r="H4" t="s">
        <v>40</v>
      </c>
      <c r="I4" t="s">
        <v>31</v>
      </c>
      <c r="J4" t="s">
        <v>32</v>
      </c>
      <c r="K4" t="s">
        <v>41</v>
      </c>
      <c r="L4" t="s">
        <v>42</v>
      </c>
      <c r="M4" t="s">
        <v>43</v>
      </c>
      <c r="N4" t="s">
        <v>44</v>
      </c>
      <c r="O4" t="s">
        <v>45</v>
      </c>
      <c r="P4" t="s">
        <v>46</v>
      </c>
    </row>
    <row r="5" spans="1:26" x14ac:dyDescent="0.25">
      <c r="A5" t="s">
        <v>36</v>
      </c>
      <c r="B5" t="s">
        <v>37</v>
      </c>
      <c r="C5" s="1">
        <v>0.45833333333333331</v>
      </c>
      <c r="D5" t="s">
        <v>38</v>
      </c>
      <c r="E5" t="s">
        <v>35</v>
      </c>
      <c r="F5" t="s">
        <v>43</v>
      </c>
      <c r="G5" t="s">
        <v>39</v>
      </c>
      <c r="H5" t="s">
        <v>47</v>
      </c>
      <c r="I5" t="s">
        <v>43</v>
      </c>
      <c r="J5" t="s">
        <v>48</v>
      </c>
      <c r="K5" t="s">
        <v>45</v>
      </c>
    </row>
    <row r="6" spans="1:26" x14ac:dyDescent="0.25">
      <c r="A6" t="s">
        <v>36</v>
      </c>
      <c r="B6" t="s">
        <v>37</v>
      </c>
      <c r="C6" s="1">
        <v>0.58333333333333337</v>
      </c>
      <c r="D6" t="s">
        <v>38</v>
      </c>
      <c r="E6" t="s">
        <v>30</v>
      </c>
      <c r="F6" t="s">
        <v>45</v>
      </c>
      <c r="G6" t="s">
        <v>39</v>
      </c>
      <c r="H6" t="s">
        <v>40</v>
      </c>
      <c r="I6" t="s">
        <v>49</v>
      </c>
      <c r="J6" t="s">
        <v>32</v>
      </c>
      <c r="K6" t="s">
        <v>41</v>
      </c>
      <c r="L6" t="s">
        <v>43</v>
      </c>
      <c r="M6" t="s">
        <v>45</v>
      </c>
    </row>
    <row r="7" spans="1:26" x14ac:dyDescent="0.25">
      <c r="A7" t="s">
        <v>36</v>
      </c>
      <c r="B7" t="s">
        <v>37</v>
      </c>
      <c r="C7" s="1">
        <v>0.58333333333333337</v>
      </c>
      <c r="D7" t="s">
        <v>38</v>
      </c>
      <c r="E7" t="s">
        <v>35</v>
      </c>
      <c r="F7" t="s">
        <v>47</v>
      </c>
      <c r="G7" t="s">
        <v>39</v>
      </c>
      <c r="H7" t="s">
        <v>47</v>
      </c>
      <c r="I7" t="s">
        <v>43</v>
      </c>
      <c r="J7" t="s">
        <v>48</v>
      </c>
      <c r="K7" t="s">
        <v>45</v>
      </c>
    </row>
    <row r="8" spans="1:26" x14ac:dyDescent="0.25">
      <c r="A8" t="s">
        <v>36</v>
      </c>
      <c r="B8" t="s">
        <v>37</v>
      </c>
      <c r="C8" s="1">
        <v>0.70833333333333337</v>
      </c>
      <c r="D8" t="s">
        <v>38</v>
      </c>
      <c r="E8" t="s">
        <v>30</v>
      </c>
      <c r="F8" t="s">
        <v>50</v>
      </c>
      <c r="G8" t="s">
        <v>31</v>
      </c>
      <c r="H8" t="s">
        <v>41</v>
      </c>
      <c r="I8" t="s">
        <v>43</v>
      </c>
      <c r="J8" t="s">
        <v>50</v>
      </c>
      <c r="K8" t="s">
        <v>45</v>
      </c>
    </row>
    <row r="9" spans="1:26" x14ac:dyDescent="0.25">
      <c r="A9" t="s">
        <v>36</v>
      </c>
      <c r="B9" t="s">
        <v>37</v>
      </c>
      <c r="C9" s="1">
        <v>0.70833333333333337</v>
      </c>
      <c r="D9" t="s">
        <v>38</v>
      </c>
      <c r="E9" t="s">
        <v>35</v>
      </c>
      <c r="F9" t="s">
        <v>48</v>
      </c>
      <c r="G9" t="s">
        <v>43</v>
      </c>
      <c r="H9" t="s">
        <v>50</v>
      </c>
      <c r="I9" t="s">
        <v>48</v>
      </c>
      <c r="J9" t="s">
        <v>45</v>
      </c>
    </row>
    <row r="10" spans="1:26" x14ac:dyDescent="0.25">
      <c r="A10" t="s">
        <v>36</v>
      </c>
      <c r="B10" t="s">
        <v>37</v>
      </c>
      <c r="C10" s="1">
        <v>0.41666666666666669</v>
      </c>
      <c r="D10" t="s">
        <v>51</v>
      </c>
      <c r="E10" t="s">
        <v>30</v>
      </c>
      <c r="F10" t="s">
        <v>44</v>
      </c>
      <c r="G10" t="s">
        <v>39</v>
      </c>
      <c r="H10" t="s">
        <v>31</v>
      </c>
      <c r="I10" t="s">
        <v>32</v>
      </c>
      <c r="J10" t="s">
        <v>33</v>
      </c>
      <c r="K10" t="s">
        <v>43</v>
      </c>
      <c r="L10" t="s">
        <v>52</v>
      </c>
      <c r="M10" t="s">
        <v>44</v>
      </c>
      <c r="N10" t="s">
        <v>45</v>
      </c>
    </row>
    <row r="11" spans="1:26" x14ac:dyDescent="0.25">
      <c r="A11" t="s">
        <v>36</v>
      </c>
      <c r="B11" t="s">
        <v>37</v>
      </c>
      <c r="C11" s="1">
        <v>0.41666666666666669</v>
      </c>
      <c r="D11" t="s">
        <v>51</v>
      </c>
      <c r="E11" t="s">
        <v>35</v>
      </c>
      <c r="F11" t="s">
        <v>39</v>
      </c>
      <c r="G11" t="s">
        <v>39</v>
      </c>
      <c r="H11" t="s">
        <v>47</v>
      </c>
      <c r="I11" t="s">
        <v>33</v>
      </c>
      <c r="J11" t="s">
        <v>43</v>
      </c>
      <c r="K11" t="s">
        <v>45</v>
      </c>
    </row>
    <row r="12" spans="1:26" x14ac:dyDescent="0.25">
      <c r="A12" t="s">
        <v>36</v>
      </c>
      <c r="B12" t="s">
        <v>37</v>
      </c>
      <c r="C12" s="1">
        <v>0.54166666666666663</v>
      </c>
      <c r="D12" t="s">
        <v>51</v>
      </c>
      <c r="E12" t="s">
        <v>30</v>
      </c>
      <c r="F12" t="s">
        <v>52</v>
      </c>
      <c r="G12" t="s">
        <v>39</v>
      </c>
      <c r="H12" t="s">
        <v>32</v>
      </c>
      <c r="I12" t="s">
        <v>43</v>
      </c>
      <c r="J12" t="s">
        <v>52</v>
      </c>
      <c r="K12" t="s">
        <v>45</v>
      </c>
    </row>
    <row r="13" spans="1:26" x14ac:dyDescent="0.25">
      <c r="A13" t="s">
        <v>36</v>
      </c>
      <c r="B13" t="s">
        <v>37</v>
      </c>
      <c r="C13" s="1">
        <v>0.54166666666666663</v>
      </c>
      <c r="D13" t="s">
        <v>51</v>
      </c>
      <c r="E13" t="s">
        <v>35</v>
      </c>
      <c r="F13" t="s">
        <v>47</v>
      </c>
      <c r="G13" t="s">
        <v>39</v>
      </c>
      <c r="H13" t="s">
        <v>47</v>
      </c>
      <c r="I13" t="s">
        <v>43</v>
      </c>
      <c r="J13" t="s">
        <v>45</v>
      </c>
    </row>
    <row r="14" spans="1:26" x14ac:dyDescent="0.25">
      <c r="A14" t="s">
        <v>36</v>
      </c>
      <c r="B14" t="s">
        <v>37</v>
      </c>
      <c r="C14" s="1">
        <v>0.66666666666666663</v>
      </c>
      <c r="D14" t="s">
        <v>51</v>
      </c>
      <c r="E14" t="s">
        <v>30</v>
      </c>
      <c r="F14" t="s">
        <v>54</v>
      </c>
      <c r="G14" t="s">
        <v>31</v>
      </c>
      <c r="H14" t="s">
        <v>32</v>
      </c>
      <c r="I14" t="s">
        <v>53</v>
      </c>
      <c r="J14" t="s">
        <v>43</v>
      </c>
      <c r="K14" t="s">
        <v>54</v>
      </c>
      <c r="L14" t="s">
        <v>45</v>
      </c>
    </row>
    <row r="15" spans="1:26" x14ac:dyDescent="0.25">
      <c r="A15" t="s">
        <v>36</v>
      </c>
      <c r="B15" t="s">
        <v>37</v>
      </c>
      <c r="C15" s="1">
        <v>0.66666666666666663</v>
      </c>
      <c r="D15" t="s">
        <v>51</v>
      </c>
      <c r="E15" t="s">
        <v>35</v>
      </c>
      <c r="F15" t="s">
        <v>43</v>
      </c>
      <c r="G15" t="s">
        <v>43</v>
      </c>
      <c r="H15" t="s">
        <v>45</v>
      </c>
    </row>
    <row r="16" spans="1:26" x14ac:dyDescent="0.25">
      <c r="A16" t="s">
        <v>25</v>
      </c>
      <c r="B16" t="s">
        <v>37</v>
      </c>
      <c r="C16" s="1">
        <v>0.5</v>
      </c>
      <c r="D16" t="s">
        <v>26</v>
      </c>
      <c r="E16" t="s">
        <v>30</v>
      </c>
      <c r="F16" t="s">
        <v>89</v>
      </c>
    </row>
    <row r="17" spans="1:19" x14ac:dyDescent="0.25">
      <c r="A17" t="s">
        <v>25</v>
      </c>
      <c r="B17" t="s">
        <v>37</v>
      </c>
      <c r="C17" s="1">
        <v>0.5</v>
      </c>
      <c r="D17" t="s">
        <v>26</v>
      </c>
      <c r="E17" t="s">
        <v>35</v>
      </c>
      <c r="F17" t="s">
        <v>40</v>
      </c>
      <c r="G17" t="s">
        <v>55</v>
      </c>
      <c r="H17" t="s">
        <v>40</v>
      </c>
      <c r="I17" t="s">
        <v>32</v>
      </c>
    </row>
    <row r="18" spans="1:19" x14ac:dyDescent="0.25">
      <c r="A18" t="s">
        <v>25</v>
      </c>
      <c r="B18" t="s">
        <v>37</v>
      </c>
      <c r="C18" s="1">
        <v>0.625</v>
      </c>
      <c r="D18" t="s">
        <v>26</v>
      </c>
      <c r="E18" t="s">
        <v>30</v>
      </c>
      <c r="F18" t="s">
        <v>89</v>
      </c>
    </row>
    <row r="19" spans="1:19" x14ac:dyDescent="0.25">
      <c r="A19" t="s">
        <v>25</v>
      </c>
      <c r="B19" t="s">
        <v>37</v>
      </c>
      <c r="C19" s="1">
        <v>0.625</v>
      </c>
      <c r="D19" t="s">
        <v>26</v>
      </c>
      <c r="E19" t="s">
        <v>35</v>
      </c>
      <c r="F19" t="s">
        <v>55</v>
      </c>
      <c r="G19" t="s">
        <v>55</v>
      </c>
      <c r="H19" t="s">
        <v>40</v>
      </c>
      <c r="I19" t="s">
        <v>32</v>
      </c>
    </row>
    <row r="20" spans="1:19" x14ac:dyDescent="0.25">
      <c r="A20" t="s">
        <v>25</v>
      </c>
      <c r="B20" t="s">
        <v>37</v>
      </c>
      <c r="C20" s="1">
        <v>0.75</v>
      </c>
      <c r="D20" t="s">
        <v>26</v>
      </c>
      <c r="E20" t="s">
        <v>30</v>
      </c>
      <c r="F20" t="s">
        <v>88</v>
      </c>
    </row>
    <row r="21" spans="1:19" x14ac:dyDescent="0.25">
      <c r="A21" t="s">
        <v>25</v>
      </c>
      <c r="B21" t="s">
        <v>37</v>
      </c>
      <c r="C21" s="1">
        <v>0.75</v>
      </c>
      <c r="D21" t="s">
        <v>26</v>
      </c>
      <c r="E21" t="s">
        <v>35</v>
      </c>
      <c r="F21" t="s">
        <v>31</v>
      </c>
      <c r="G21" t="s">
        <v>55</v>
      </c>
      <c r="H21" t="s">
        <v>40</v>
      </c>
      <c r="I21" t="s">
        <v>31</v>
      </c>
    </row>
    <row r="22" spans="1:19" x14ac:dyDescent="0.25">
      <c r="A22" t="s">
        <v>36</v>
      </c>
      <c r="B22" t="s">
        <v>56</v>
      </c>
      <c r="C22" s="1">
        <v>0.58333333333333337</v>
      </c>
      <c r="D22" t="s">
        <v>38</v>
      </c>
      <c r="E22" t="s">
        <v>30</v>
      </c>
      <c r="F22" t="s">
        <v>59</v>
      </c>
      <c r="G22" t="s">
        <v>57</v>
      </c>
      <c r="H22" t="s">
        <v>39</v>
      </c>
      <c r="I22" t="s">
        <v>58</v>
      </c>
      <c r="J22" t="s">
        <v>31</v>
      </c>
      <c r="K22" t="s">
        <v>53</v>
      </c>
      <c r="L22" t="s">
        <v>43</v>
      </c>
      <c r="M22" t="s">
        <v>59</v>
      </c>
      <c r="N22" t="s">
        <v>54</v>
      </c>
      <c r="O22" t="s">
        <v>60</v>
      </c>
      <c r="P22" t="s">
        <v>52</v>
      </c>
      <c r="Q22" t="s">
        <v>61</v>
      </c>
      <c r="R22" t="s">
        <v>62</v>
      </c>
      <c r="S22" t="s">
        <v>46</v>
      </c>
    </row>
    <row r="23" spans="1:19" x14ac:dyDescent="0.25">
      <c r="A23" t="s">
        <v>36</v>
      </c>
      <c r="B23" t="s">
        <v>56</v>
      </c>
      <c r="C23" s="1">
        <v>0.58333333333333337</v>
      </c>
      <c r="D23" t="s">
        <v>38</v>
      </c>
      <c r="E23" t="s">
        <v>35</v>
      </c>
      <c r="F23" t="s">
        <v>65</v>
      </c>
      <c r="G23" t="s">
        <v>57</v>
      </c>
      <c r="H23" t="s">
        <v>39</v>
      </c>
      <c r="I23" t="s">
        <v>63</v>
      </c>
      <c r="J23" t="s">
        <v>47</v>
      </c>
      <c r="K23" t="s">
        <v>64</v>
      </c>
      <c r="L23" t="s">
        <v>41</v>
      </c>
      <c r="M23" t="s">
        <v>43</v>
      </c>
      <c r="N23" t="s">
        <v>65</v>
      </c>
      <c r="O23" t="s">
        <v>66</v>
      </c>
      <c r="P23" t="s">
        <v>48</v>
      </c>
      <c r="Q23" t="s">
        <v>62</v>
      </c>
    </row>
    <row r="24" spans="1:19" x14ac:dyDescent="0.25">
      <c r="A24" t="s">
        <v>36</v>
      </c>
      <c r="B24" t="s">
        <v>56</v>
      </c>
      <c r="C24" s="1">
        <v>0.70833333333333337</v>
      </c>
      <c r="D24" t="s">
        <v>38</v>
      </c>
      <c r="E24" t="s">
        <v>30</v>
      </c>
      <c r="F24" t="s">
        <v>68</v>
      </c>
      <c r="G24" t="s">
        <v>57</v>
      </c>
      <c r="H24" t="s">
        <v>39</v>
      </c>
      <c r="I24" t="s">
        <v>31</v>
      </c>
      <c r="J24" t="s">
        <v>43</v>
      </c>
      <c r="K24" t="s">
        <v>54</v>
      </c>
      <c r="L24" t="s">
        <v>67</v>
      </c>
      <c r="M24" t="s">
        <v>68</v>
      </c>
      <c r="N24" t="s">
        <v>50</v>
      </c>
      <c r="O24" t="s">
        <v>62</v>
      </c>
      <c r="P24" t="s">
        <v>46</v>
      </c>
    </row>
    <row r="25" spans="1:19" x14ac:dyDescent="0.25">
      <c r="A25" t="s">
        <v>36</v>
      </c>
      <c r="B25" t="s">
        <v>56</v>
      </c>
      <c r="C25" s="1">
        <v>0.70833333333333337</v>
      </c>
      <c r="D25" t="s">
        <v>38</v>
      </c>
      <c r="E25" t="s">
        <v>35</v>
      </c>
      <c r="F25" t="s">
        <v>66</v>
      </c>
      <c r="G25" t="s">
        <v>57</v>
      </c>
      <c r="H25" t="s">
        <v>39</v>
      </c>
      <c r="I25" t="s">
        <v>43</v>
      </c>
      <c r="J25" t="s">
        <v>65</v>
      </c>
      <c r="K25" t="s">
        <v>50</v>
      </c>
      <c r="L25" t="s">
        <v>66</v>
      </c>
      <c r="M25" t="s">
        <v>48</v>
      </c>
      <c r="N25" t="s">
        <v>62</v>
      </c>
    </row>
    <row r="26" spans="1:19" x14ac:dyDescent="0.25">
      <c r="A26" t="s">
        <v>36</v>
      </c>
      <c r="B26" t="s">
        <v>56</v>
      </c>
      <c r="C26" s="1">
        <v>0.41666666666666669</v>
      </c>
      <c r="D26" t="s">
        <v>51</v>
      </c>
      <c r="E26" t="s">
        <v>30</v>
      </c>
      <c r="F26" t="s">
        <v>58</v>
      </c>
      <c r="G26" t="s">
        <v>57</v>
      </c>
      <c r="H26" t="s">
        <v>39</v>
      </c>
      <c r="I26" t="s">
        <v>58</v>
      </c>
      <c r="J26" t="s">
        <v>31</v>
      </c>
      <c r="K26" t="s">
        <v>32</v>
      </c>
      <c r="L26" t="s">
        <v>43</v>
      </c>
      <c r="M26" t="s">
        <v>44</v>
      </c>
      <c r="N26" t="s">
        <v>62</v>
      </c>
    </row>
    <row r="27" spans="1:19" x14ac:dyDescent="0.25">
      <c r="A27" t="s">
        <v>36</v>
      </c>
      <c r="B27" t="s">
        <v>56</v>
      </c>
      <c r="C27" s="1">
        <v>0.41666666666666669</v>
      </c>
      <c r="D27" t="s">
        <v>51</v>
      </c>
      <c r="E27" t="s">
        <v>35</v>
      </c>
      <c r="F27" t="s">
        <v>57</v>
      </c>
      <c r="G27" t="s">
        <v>57</v>
      </c>
      <c r="H27" t="s">
        <v>39</v>
      </c>
      <c r="I27" t="s">
        <v>47</v>
      </c>
      <c r="J27" t="s">
        <v>43</v>
      </c>
      <c r="K27" t="s">
        <v>48</v>
      </c>
      <c r="L27" t="s">
        <v>62</v>
      </c>
    </row>
    <row r="28" spans="1:19" x14ac:dyDescent="0.25">
      <c r="A28" t="s">
        <v>27</v>
      </c>
      <c r="B28" t="s">
        <v>56</v>
      </c>
      <c r="C28" s="1">
        <v>0.5</v>
      </c>
      <c r="D28" t="s">
        <v>26</v>
      </c>
      <c r="E28" t="s">
        <v>30</v>
      </c>
      <c r="F28" t="s">
        <v>40</v>
      </c>
      <c r="G28" t="s">
        <v>40</v>
      </c>
      <c r="H28" t="s">
        <v>31</v>
      </c>
      <c r="I28" t="s">
        <v>49</v>
      </c>
      <c r="J28" t="s">
        <v>32</v>
      </c>
      <c r="K28" t="s">
        <v>69</v>
      </c>
      <c r="L28" t="s">
        <v>33</v>
      </c>
      <c r="M28" t="s">
        <v>70</v>
      </c>
    </row>
    <row r="29" spans="1:19" x14ac:dyDescent="0.25">
      <c r="A29" t="s">
        <v>27</v>
      </c>
      <c r="B29" t="s">
        <v>56</v>
      </c>
      <c r="C29" s="1">
        <v>0.5</v>
      </c>
      <c r="D29" t="s">
        <v>26</v>
      </c>
      <c r="E29" t="s">
        <v>35</v>
      </c>
      <c r="F29" t="s">
        <v>72</v>
      </c>
      <c r="G29" t="s">
        <v>71</v>
      </c>
      <c r="H29" t="s">
        <v>32</v>
      </c>
      <c r="I29" t="s">
        <v>69</v>
      </c>
      <c r="J29" t="s">
        <v>72</v>
      </c>
    </row>
    <row r="30" spans="1:19" x14ac:dyDescent="0.25">
      <c r="A30" t="s">
        <v>27</v>
      </c>
      <c r="B30" t="s">
        <v>56</v>
      </c>
      <c r="C30" s="1">
        <v>0.625</v>
      </c>
      <c r="D30" t="s">
        <v>26</v>
      </c>
      <c r="E30" t="s">
        <v>30</v>
      </c>
      <c r="F30" t="s">
        <v>49</v>
      </c>
      <c r="G30" t="s">
        <v>31</v>
      </c>
      <c r="H30" t="s">
        <v>49</v>
      </c>
      <c r="I30" t="s">
        <v>69</v>
      </c>
      <c r="J30" t="s">
        <v>34</v>
      </c>
      <c r="K30" t="s">
        <v>70</v>
      </c>
    </row>
    <row r="31" spans="1:19" x14ac:dyDescent="0.25">
      <c r="A31" t="s">
        <v>27</v>
      </c>
      <c r="B31" t="s">
        <v>56</v>
      </c>
      <c r="C31" s="1">
        <v>0.625</v>
      </c>
      <c r="D31" t="s">
        <v>26</v>
      </c>
      <c r="E31" t="s">
        <v>35</v>
      </c>
      <c r="F31" t="s">
        <v>34</v>
      </c>
      <c r="G31" t="s">
        <v>69</v>
      </c>
      <c r="H31" t="s">
        <v>34</v>
      </c>
    </row>
    <row r="32" spans="1:19" x14ac:dyDescent="0.25">
      <c r="A32" t="s">
        <v>27</v>
      </c>
      <c r="B32" t="s">
        <v>56</v>
      </c>
      <c r="C32" s="1">
        <v>0.75</v>
      </c>
      <c r="D32" t="s">
        <v>26</v>
      </c>
      <c r="E32" t="s">
        <v>30</v>
      </c>
      <c r="F32" t="s">
        <v>70</v>
      </c>
      <c r="G32" t="s">
        <v>31</v>
      </c>
      <c r="H32" t="s">
        <v>32</v>
      </c>
      <c r="I32" t="s">
        <v>69</v>
      </c>
      <c r="J32" t="s">
        <v>70</v>
      </c>
    </row>
    <row r="33" spans="1:11" x14ac:dyDescent="0.25">
      <c r="A33" t="s">
        <v>27</v>
      </c>
      <c r="B33" t="s">
        <v>56</v>
      </c>
      <c r="C33" s="1">
        <v>0.75</v>
      </c>
      <c r="D33" t="s">
        <v>26</v>
      </c>
      <c r="E33" t="s">
        <v>35</v>
      </c>
      <c r="F33" t="s">
        <v>69</v>
      </c>
      <c r="G33" t="s">
        <v>32</v>
      </c>
      <c r="H33" t="s">
        <v>69</v>
      </c>
    </row>
    <row r="34" spans="1:11" x14ac:dyDescent="0.25">
      <c r="A34" t="s">
        <v>27</v>
      </c>
      <c r="B34" t="s">
        <v>56</v>
      </c>
      <c r="C34" s="1">
        <v>0.54166666666666663</v>
      </c>
      <c r="D34" t="s">
        <v>29</v>
      </c>
      <c r="E34" t="s">
        <v>30</v>
      </c>
      <c r="F34" t="s">
        <v>31</v>
      </c>
      <c r="G34" t="s">
        <v>31</v>
      </c>
      <c r="H34" t="s">
        <v>69</v>
      </c>
    </row>
    <row r="35" spans="1:11" x14ac:dyDescent="0.25">
      <c r="A35" t="s">
        <v>27</v>
      </c>
      <c r="B35" t="s">
        <v>56</v>
      </c>
      <c r="C35" s="1">
        <v>0.54166666666666663</v>
      </c>
      <c r="D35" t="s">
        <v>29</v>
      </c>
      <c r="E35" t="s">
        <v>35</v>
      </c>
      <c r="F35" t="s">
        <v>69</v>
      </c>
      <c r="G35" t="s">
        <v>69</v>
      </c>
    </row>
    <row r="36" spans="1:11" x14ac:dyDescent="0.25">
      <c r="A36" t="s">
        <v>25</v>
      </c>
      <c r="B36" t="s">
        <v>73</v>
      </c>
      <c r="C36" s="1">
        <v>0.75</v>
      </c>
      <c r="D36" t="s">
        <v>26</v>
      </c>
      <c r="E36" t="s">
        <v>30</v>
      </c>
      <c r="F36" t="s">
        <v>76</v>
      </c>
      <c r="G36" t="s">
        <v>74</v>
      </c>
      <c r="H36" t="s">
        <v>75</v>
      </c>
      <c r="I36" t="s">
        <v>76</v>
      </c>
      <c r="J36" t="s">
        <v>77</v>
      </c>
      <c r="K36" t="s">
        <v>78</v>
      </c>
    </row>
    <row r="37" spans="1:11" x14ac:dyDescent="0.25">
      <c r="A37" t="s">
        <v>25</v>
      </c>
      <c r="B37" t="s">
        <v>73</v>
      </c>
      <c r="C37" s="1">
        <v>0.75</v>
      </c>
      <c r="D37" t="s">
        <v>26</v>
      </c>
      <c r="E37" t="s">
        <v>35</v>
      </c>
      <c r="F37" t="s">
        <v>77</v>
      </c>
      <c r="G37" t="s">
        <v>74</v>
      </c>
      <c r="H37" t="s">
        <v>32</v>
      </c>
      <c r="I37" t="s">
        <v>77</v>
      </c>
    </row>
    <row r="38" spans="1:11" x14ac:dyDescent="0.25">
      <c r="A38" t="s">
        <v>25</v>
      </c>
      <c r="B38" t="s">
        <v>73</v>
      </c>
      <c r="C38" s="1">
        <v>0.75</v>
      </c>
      <c r="D38" t="s">
        <v>29</v>
      </c>
      <c r="E38" t="s">
        <v>30</v>
      </c>
      <c r="F38" t="s">
        <v>74</v>
      </c>
    </row>
    <row r="39" spans="1:11" x14ac:dyDescent="0.25">
      <c r="A39" t="s">
        <v>25</v>
      </c>
      <c r="B39" t="s">
        <v>73</v>
      </c>
      <c r="C39" s="1">
        <v>0.75</v>
      </c>
      <c r="D39" t="s">
        <v>29</v>
      </c>
      <c r="E39" t="s">
        <v>35</v>
      </c>
      <c r="F39" t="s">
        <v>78</v>
      </c>
    </row>
    <row r="40" spans="1:11" x14ac:dyDescent="0.25">
      <c r="A40" t="s">
        <v>27</v>
      </c>
      <c r="B40" t="s">
        <v>79</v>
      </c>
      <c r="C40" s="1">
        <v>0.75</v>
      </c>
      <c r="D40" t="s">
        <v>26</v>
      </c>
      <c r="E40" t="s">
        <v>30</v>
      </c>
      <c r="F40" t="s">
        <v>80</v>
      </c>
      <c r="G40" t="s">
        <v>31</v>
      </c>
      <c r="H40" t="s">
        <v>32</v>
      </c>
      <c r="I40" t="s">
        <v>33</v>
      </c>
      <c r="J40" t="s">
        <v>80</v>
      </c>
    </row>
    <row r="41" spans="1:11" x14ac:dyDescent="0.25">
      <c r="A41" t="s">
        <v>27</v>
      </c>
      <c r="B41" t="s">
        <v>79</v>
      </c>
      <c r="C41" s="1">
        <v>0.75</v>
      </c>
      <c r="D41" t="s">
        <v>26</v>
      </c>
      <c r="E41" t="s">
        <v>35</v>
      </c>
      <c r="F41" t="s">
        <v>71</v>
      </c>
      <c r="G41" t="s">
        <v>71</v>
      </c>
      <c r="H41" t="s">
        <v>40</v>
      </c>
      <c r="I41" t="s">
        <v>32</v>
      </c>
      <c r="J41" t="s">
        <v>33</v>
      </c>
    </row>
    <row r="42" spans="1:11" x14ac:dyDescent="0.25">
      <c r="A42" t="s">
        <v>27</v>
      </c>
      <c r="B42" t="s">
        <v>79</v>
      </c>
      <c r="C42" s="1">
        <v>0.75</v>
      </c>
      <c r="D42" t="s">
        <v>29</v>
      </c>
      <c r="E42" t="s">
        <v>30</v>
      </c>
      <c r="F42" t="s">
        <v>31</v>
      </c>
      <c r="G42" t="s">
        <v>31</v>
      </c>
      <c r="H42" t="s">
        <v>32</v>
      </c>
    </row>
    <row r="43" spans="1:11" x14ac:dyDescent="0.25">
      <c r="A43" t="s">
        <v>27</v>
      </c>
      <c r="B43" t="s">
        <v>79</v>
      </c>
      <c r="C43" s="1">
        <v>0.75</v>
      </c>
      <c r="D43" t="s">
        <v>29</v>
      </c>
      <c r="E43" t="s">
        <v>35</v>
      </c>
      <c r="F43" t="s">
        <v>32</v>
      </c>
      <c r="G43" t="s">
        <v>32</v>
      </c>
    </row>
    <row r="44" spans="1:11" x14ac:dyDescent="0.25">
      <c r="A44" t="s">
        <v>25</v>
      </c>
      <c r="B44" t="s">
        <v>81</v>
      </c>
      <c r="C44" s="1">
        <v>0.75</v>
      </c>
      <c r="D44" t="s">
        <v>26</v>
      </c>
      <c r="E44" t="s">
        <v>30</v>
      </c>
      <c r="F44" t="s">
        <v>82</v>
      </c>
    </row>
    <row r="45" spans="1:11" x14ac:dyDescent="0.25">
      <c r="A45" t="s">
        <v>25</v>
      </c>
      <c r="B45" t="s">
        <v>81</v>
      </c>
      <c r="C45" s="1">
        <v>0.75</v>
      </c>
      <c r="D45" t="s">
        <v>26</v>
      </c>
      <c r="E45" t="s">
        <v>35</v>
      </c>
      <c r="F45" t="s">
        <v>77</v>
      </c>
      <c r="G45" t="s">
        <v>31</v>
      </c>
      <c r="H45" t="s">
        <v>32</v>
      </c>
      <c r="I45" t="s">
        <v>82</v>
      </c>
      <c r="J45" t="s">
        <v>33</v>
      </c>
      <c r="K45" t="s">
        <v>77</v>
      </c>
    </row>
    <row r="46" spans="1:11" x14ac:dyDescent="0.25">
      <c r="A46" t="s">
        <v>27</v>
      </c>
      <c r="B46" t="s">
        <v>83</v>
      </c>
      <c r="C46" s="1">
        <v>0.75</v>
      </c>
      <c r="D46" t="s">
        <v>26</v>
      </c>
      <c r="E46" t="s">
        <v>30</v>
      </c>
      <c r="F46" t="s">
        <v>32</v>
      </c>
      <c r="G46" t="s">
        <v>31</v>
      </c>
      <c r="H46" t="s">
        <v>32</v>
      </c>
    </row>
    <row r="47" spans="1:11" x14ac:dyDescent="0.25">
      <c r="A47" t="s">
        <v>27</v>
      </c>
      <c r="B47" t="s">
        <v>83</v>
      </c>
      <c r="C47" s="1">
        <v>0.75</v>
      </c>
      <c r="D47" t="s">
        <v>26</v>
      </c>
      <c r="E47" t="s">
        <v>35</v>
      </c>
      <c r="F47" t="s">
        <v>40</v>
      </c>
      <c r="G47" t="s">
        <v>40</v>
      </c>
      <c r="H47" t="s">
        <v>32</v>
      </c>
    </row>
    <row r="48" spans="1:11" x14ac:dyDescent="0.25">
      <c r="A48" t="s">
        <v>27</v>
      </c>
      <c r="B48" t="s">
        <v>83</v>
      </c>
      <c r="C48" s="1">
        <v>0.75</v>
      </c>
      <c r="D48" t="s">
        <v>29</v>
      </c>
      <c r="E48" t="s">
        <v>30</v>
      </c>
      <c r="F48" t="s">
        <v>33</v>
      </c>
      <c r="G48" t="s">
        <v>31</v>
      </c>
      <c r="H48" t="s">
        <v>32</v>
      </c>
      <c r="I48" t="s">
        <v>33</v>
      </c>
    </row>
    <row r="49" spans="1:9" x14ac:dyDescent="0.25">
      <c r="A49" t="s">
        <v>27</v>
      </c>
      <c r="B49" t="s">
        <v>83</v>
      </c>
      <c r="C49" s="1">
        <v>0.75</v>
      </c>
      <c r="D49" t="s">
        <v>29</v>
      </c>
      <c r="E49" t="s">
        <v>35</v>
      </c>
      <c r="F49" t="s">
        <v>31</v>
      </c>
      <c r="G49" t="s">
        <v>32</v>
      </c>
      <c r="H49" t="s">
        <v>33</v>
      </c>
    </row>
    <row r="50" spans="1:9" x14ac:dyDescent="0.25">
      <c r="A50" t="s">
        <v>27</v>
      </c>
      <c r="B50" t="s">
        <v>84</v>
      </c>
      <c r="C50" s="1">
        <v>0.75</v>
      </c>
      <c r="D50" t="s">
        <v>29</v>
      </c>
      <c r="E50" t="s">
        <v>30</v>
      </c>
      <c r="F50" t="s">
        <v>34</v>
      </c>
      <c r="G50" t="s">
        <v>31</v>
      </c>
      <c r="H50" t="s">
        <v>32</v>
      </c>
      <c r="I50" t="s">
        <v>34</v>
      </c>
    </row>
    <row r="51" spans="1:9" x14ac:dyDescent="0.25">
      <c r="A51" t="s">
        <v>27</v>
      </c>
      <c r="B51" t="s">
        <v>84</v>
      </c>
      <c r="C51" s="1">
        <v>0.75</v>
      </c>
      <c r="D51" t="s">
        <v>29</v>
      </c>
      <c r="E51" t="s">
        <v>35</v>
      </c>
      <c r="F51" t="s">
        <v>32</v>
      </c>
      <c r="G51" t="s">
        <v>32</v>
      </c>
      <c r="H51" t="s">
        <v>34</v>
      </c>
    </row>
  </sheetData>
  <autoFilter ref="A1:Z5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workbookViewId="0">
      <selection activeCell="E3" sqref="E3"/>
    </sheetView>
  </sheetViews>
  <sheetFormatPr defaultRowHeight="15" x14ac:dyDescent="0.25"/>
  <cols>
    <col min="1" max="1" width="22.5703125" bestFit="1" customWidth="1"/>
    <col min="3" max="3" width="13.7109375" bestFit="1" customWidth="1"/>
    <col min="4" max="4" width="16.85546875" bestFit="1" customWidth="1"/>
  </cols>
  <sheetData>
    <row r="1" spans="1:6" x14ac:dyDescent="0.25">
      <c r="A1" t="s">
        <v>85</v>
      </c>
      <c r="B1" t="s">
        <v>86</v>
      </c>
      <c r="C1" t="s">
        <v>96</v>
      </c>
      <c r="D1" t="s">
        <v>95</v>
      </c>
      <c r="E1" t="s">
        <v>97</v>
      </c>
      <c r="F1" t="s">
        <v>98</v>
      </c>
    </row>
    <row r="2" spans="1:6" x14ac:dyDescent="0.25">
      <c r="A2" t="s">
        <v>32</v>
      </c>
      <c r="B2">
        <v>1498680</v>
      </c>
      <c r="C2">
        <v>26</v>
      </c>
      <c r="D2">
        <v>9</v>
      </c>
      <c r="E2">
        <f>COUNTIF(gamesToAssign!F$2:'gamesToAssign'!F$51,A2)</f>
        <v>3</v>
      </c>
    </row>
    <row r="3" spans="1:6" x14ac:dyDescent="0.25">
      <c r="A3" t="s">
        <v>31</v>
      </c>
      <c r="B3">
        <v>2122363</v>
      </c>
      <c r="C3">
        <v>19</v>
      </c>
      <c r="D3">
        <v>7</v>
      </c>
      <c r="E3">
        <f>COUNTIF(gamesToAssign!F$2:'gamesToAssign'!F$51,A3)</f>
        <v>4</v>
      </c>
    </row>
    <row r="4" spans="1:6" x14ac:dyDescent="0.25">
      <c r="A4" t="s">
        <v>75</v>
      </c>
      <c r="B4">
        <v>904071</v>
      </c>
      <c r="C4">
        <v>1</v>
      </c>
      <c r="D4">
        <v>6</v>
      </c>
      <c r="E4">
        <f>COUNTIF(gamesToAssign!F$2:'gamesToAssign'!F$51,A4)</f>
        <v>0</v>
      </c>
      <c r="F4" t="s">
        <v>93</v>
      </c>
    </row>
    <row r="5" spans="1:6" x14ac:dyDescent="0.25">
      <c r="A5" t="s">
        <v>40</v>
      </c>
      <c r="B5">
        <v>1521201</v>
      </c>
      <c r="C5">
        <v>8</v>
      </c>
      <c r="D5">
        <v>6</v>
      </c>
      <c r="E5">
        <f>COUNTIF(gamesToAssign!F$2:'gamesToAssign'!F$51,A5)</f>
        <v>3</v>
      </c>
    </row>
    <row r="6" spans="1:6" x14ac:dyDescent="0.25">
      <c r="A6" t="s">
        <v>80</v>
      </c>
      <c r="B6">
        <v>2127213</v>
      </c>
      <c r="C6">
        <v>1</v>
      </c>
      <c r="D6">
        <v>6</v>
      </c>
      <c r="E6">
        <f>COUNTIF(gamesToAssign!F$2:'gamesToAssign'!F$51,A6)</f>
        <v>1</v>
      </c>
    </row>
    <row r="7" spans="1:6" x14ac:dyDescent="0.25">
      <c r="A7" t="s">
        <v>77</v>
      </c>
      <c r="B7">
        <v>962116</v>
      </c>
      <c r="C7">
        <v>3</v>
      </c>
      <c r="D7">
        <v>5</v>
      </c>
      <c r="E7">
        <f>COUNTIF(gamesToAssign!F$2:'gamesToAssign'!F$51,A7)</f>
        <v>2</v>
      </c>
    </row>
    <row r="8" spans="1:6" x14ac:dyDescent="0.25">
      <c r="A8" t="s">
        <v>33</v>
      </c>
      <c r="B8">
        <v>1499805</v>
      </c>
      <c r="C8">
        <v>9</v>
      </c>
      <c r="D8">
        <v>5</v>
      </c>
      <c r="E8">
        <f>COUNTIF(gamesToAssign!F$2:'gamesToAssign'!F$51,A8)</f>
        <v>2</v>
      </c>
    </row>
    <row r="9" spans="1:6" x14ac:dyDescent="0.25">
      <c r="A9" t="s">
        <v>34</v>
      </c>
      <c r="B9">
        <v>1899180</v>
      </c>
      <c r="C9">
        <v>6</v>
      </c>
      <c r="D9">
        <v>4</v>
      </c>
      <c r="E9">
        <f>COUNTIF(gamesToAssign!F$2:'gamesToAssign'!F$51,A9)</f>
        <v>3</v>
      </c>
    </row>
    <row r="10" spans="1:6" x14ac:dyDescent="0.25">
      <c r="A10" t="s">
        <v>70</v>
      </c>
      <c r="B10">
        <v>1899182</v>
      </c>
      <c r="C10">
        <v>3</v>
      </c>
      <c r="D10">
        <v>4</v>
      </c>
      <c r="E10">
        <f>COUNTIF(gamesToAssign!F$2:'gamesToAssign'!F$51,A10)</f>
        <v>1</v>
      </c>
    </row>
    <row r="11" spans="1:6" x14ac:dyDescent="0.25">
      <c r="A11" t="s">
        <v>69</v>
      </c>
      <c r="B11">
        <v>1899171</v>
      </c>
      <c r="C11">
        <v>8</v>
      </c>
      <c r="D11">
        <v>4</v>
      </c>
      <c r="E11">
        <f>COUNTIF(gamesToAssign!F$2:'gamesToAssign'!F$51,A11)</f>
        <v>2</v>
      </c>
    </row>
    <row r="12" spans="1:6" x14ac:dyDescent="0.25">
      <c r="A12" t="s">
        <v>45</v>
      </c>
      <c r="B12">
        <v>2122385</v>
      </c>
      <c r="C12">
        <v>12</v>
      </c>
      <c r="D12">
        <v>3</v>
      </c>
      <c r="E12">
        <f>COUNTIF(gamesToAssign!F$2:'gamesToAssign'!F$51,A12)</f>
        <v>1</v>
      </c>
    </row>
    <row r="13" spans="1:6" x14ac:dyDescent="0.25">
      <c r="A13" t="s">
        <v>44</v>
      </c>
      <c r="B13">
        <v>2122379</v>
      </c>
      <c r="C13">
        <v>3</v>
      </c>
      <c r="D13">
        <v>3</v>
      </c>
      <c r="E13">
        <f>COUNTIF(gamesToAssign!F$2:'gamesToAssign'!F$51,A13)</f>
        <v>1</v>
      </c>
    </row>
    <row r="14" spans="1:6" x14ac:dyDescent="0.25">
      <c r="A14" t="s">
        <v>46</v>
      </c>
      <c r="B14">
        <v>2122386</v>
      </c>
      <c r="C14">
        <v>3</v>
      </c>
      <c r="D14">
        <v>3</v>
      </c>
      <c r="E14">
        <f>COUNTIF(gamesToAssign!F$2:'gamesToAssign'!F$51,A14)</f>
        <v>0</v>
      </c>
      <c r="F14" t="s">
        <v>90</v>
      </c>
    </row>
    <row r="15" spans="1:6" x14ac:dyDescent="0.25">
      <c r="A15" t="s">
        <v>53</v>
      </c>
      <c r="B15">
        <v>2112768</v>
      </c>
      <c r="C15">
        <v>2</v>
      </c>
      <c r="D15">
        <v>3</v>
      </c>
      <c r="E15">
        <f>COUNTIF(gamesToAssign!F$2:'gamesToAssign'!F$51,A15)</f>
        <v>0</v>
      </c>
      <c r="F15" t="s">
        <v>91</v>
      </c>
    </row>
    <row r="16" spans="1:6" x14ac:dyDescent="0.25">
      <c r="A16" t="s">
        <v>71</v>
      </c>
      <c r="B16">
        <v>1899162</v>
      </c>
      <c r="C16">
        <v>2</v>
      </c>
      <c r="D16">
        <v>3</v>
      </c>
      <c r="E16">
        <f>COUNTIF(gamesToAssign!F$2:'gamesToAssign'!F$51,A16)</f>
        <v>1</v>
      </c>
    </row>
    <row r="17" spans="1:6" x14ac:dyDescent="0.25">
      <c r="A17" t="s">
        <v>41</v>
      </c>
      <c r="B17">
        <v>2122366</v>
      </c>
      <c r="C17">
        <v>4</v>
      </c>
      <c r="D17">
        <v>3</v>
      </c>
      <c r="E17">
        <f>COUNTIF(gamesToAssign!F$2:'gamesToAssign'!F$51,A17)</f>
        <v>0</v>
      </c>
      <c r="F17" t="s">
        <v>92</v>
      </c>
    </row>
    <row r="18" spans="1:6" x14ac:dyDescent="0.25">
      <c r="A18" t="s">
        <v>78</v>
      </c>
      <c r="B18">
        <v>961960</v>
      </c>
      <c r="C18">
        <v>1</v>
      </c>
      <c r="D18">
        <v>2</v>
      </c>
      <c r="E18">
        <f>COUNTIF(gamesToAssign!F$2:'gamesToAssign'!F$51,A18)</f>
        <v>1</v>
      </c>
    </row>
    <row r="19" spans="1:6" x14ac:dyDescent="0.25">
      <c r="A19" t="s">
        <v>72</v>
      </c>
      <c r="B19">
        <v>1905146</v>
      </c>
      <c r="C19">
        <v>1</v>
      </c>
      <c r="D19">
        <v>2</v>
      </c>
      <c r="E19">
        <f>COUNTIF(gamesToAssign!F$2:'gamesToAssign'!F$51,A19)</f>
        <v>1</v>
      </c>
    </row>
    <row r="20" spans="1:6" x14ac:dyDescent="0.25">
      <c r="A20" t="s">
        <v>61</v>
      </c>
      <c r="B20">
        <v>2122378</v>
      </c>
      <c r="C20">
        <v>1</v>
      </c>
      <c r="D20">
        <v>2</v>
      </c>
      <c r="E20">
        <f>COUNTIF(gamesToAssign!F$2:'gamesToAssign'!F$51,A20)</f>
        <v>0</v>
      </c>
      <c r="F20" t="s">
        <v>59</v>
      </c>
    </row>
    <row r="21" spans="1:6" x14ac:dyDescent="0.25">
      <c r="A21" t="s">
        <v>39</v>
      </c>
      <c r="B21">
        <v>2122359</v>
      </c>
      <c r="C21">
        <v>14</v>
      </c>
      <c r="D21">
        <v>2</v>
      </c>
      <c r="E21">
        <f>COUNTIF(gamesToAssign!F$2:'gamesToAssign'!F$51,A21)</f>
        <v>1</v>
      </c>
    </row>
    <row r="22" spans="1:6" x14ac:dyDescent="0.25">
      <c r="A22" t="s">
        <v>43</v>
      </c>
      <c r="B22">
        <v>2122369</v>
      </c>
      <c r="C22">
        <v>18</v>
      </c>
      <c r="D22">
        <v>2</v>
      </c>
      <c r="E22">
        <f>COUNTIF(gamesToAssign!F$2:'gamesToAssign'!F$51,A22)</f>
        <v>2</v>
      </c>
    </row>
    <row r="23" spans="1:6" x14ac:dyDescent="0.25">
      <c r="A23" t="s">
        <v>62</v>
      </c>
      <c r="B23">
        <v>2122642</v>
      </c>
      <c r="C23">
        <v>6</v>
      </c>
      <c r="D23">
        <v>2</v>
      </c>
      <c r="E23">
        <f>COUNTIF(gamesToAssign!F$2:'gamesToAssign'!F$51,A23)</f>
        <v>0</v>
      </c>
      <c r="F23" t="s">
        <v>94</v>
      </c>
    </row>
    <row r="24" spans="1:6" x14ac:dyDescent="0.25">
      <c r="A24" t="s">
        <v>42</v>
      </c>
      <c r="B24">
        <v>2112769</v>
      </c>
      <c r="C24">
        <v>1</v>
      </c>
      <c r="D24">
        <v>2</v>
      </c>
      <c r="E24">
        <f>COUNTIF(gamesToAssign!F$2:'gamesToAssign'!F$51,A24)</f>
        <v>1</v>
      </c>
    </row>
    <row r="25" spans="1:6" x14ac:dyDescent="0.25">
      <c r="A25" t="s">
        <v>47</v>
      </c>
      <c r="B25">
        <v>2122362</v>
      </c>
      <c r="C25">
        <v>6</v>
      </c>
      <c r="D25">
        <v>2</v>
      </c>
      <c r="E25">
        <f>COUNTIF(gamesToAssign!F$2:'gamesToAssign'!F$51,A25)</f>
        <v>2</v>
      </c>
    </row>
    <row r="26" spans="1:6" x14ac:dyDescent="0.25">
      <c r="A26" t="s">
        <v>50</v>
      </c>
      <c r="B26">
        <v>2122377</v>
      </c>
      <c r="C26">
        <v>4</v>
      </c>
      <c r="D26">
        <v>2</v>
      </c>
      <c r="E26">
        <f>COUNTIF(gamesToAssign!F$2:'gamesToAssign'!F$51,A26)</f>
        <v>1</v>
      </c>
    </row>
    <row r="27" spans="1:6" x14ac:dyDescent="0.25">
      <c r="A27" t="s">
        <v>74</v>
      </c>
      <c r="B27">
        <v>1018110</v>
      </c>
      <c r="C27">
        <v>2</v>
      </c>
      <c r="D27">
        <v>1</v>
      </c>
      <c r="E27">
        <f>COUNTIF(gamesToAssign!F$2:'gamesToAssign'!F$51,A27)</f>
        <v>1</v>
      </c>
    </row>
    <row r="28" spans="1:6" x14ac:dyDescent="0.25">
      <c r="A28" t="s">
        <v>60</v>
      </c>
      <c r="B28">
        <v>1899181</v>
      </c>
      <c r="C28">
        <v>1</v>
      </c>
      <c r="D28">
        <v>1</v>
      </c>
      <c r="E28">
        <f>COUNTIF(gamesToAssign!F$2:'gamesToAssign'!F$51,A28)</f>
        <v>0</v>
      </c>
      <c r="F28" t="s">
        <v>59</v>
      </c>
    </row>
    <row r="29" spans="1:6" x14ac:dyDescent="0.25">
      <c r="A29" t="s">
        <v>49</v>
      </c>
      <c r="B29">
        <v>1899167</v>
      </c>
      <c r="C29">
        <v>3</v>
      </c>
      <c r="D29">
        <v>1</v>
      </c>
      <c r="E29">
        <f>COUNTIF(gamesToAssign!F$2:'gamesToAssign'!F$51,A29)</f>
        <v>1</v>
      </c>
    </row>
    <row r="30" spans="1:6" x14ac:dyDescent="0.25">
      <c r="A30" t="s">
        <v>58</v>
      </c>
      <c r="B30">
        <v>2088216</v>
      </c>
      <c r="C30">
        <v>2</v>
      </c>
      <c r="D30">
        <v>1</v>
      </c>
      <c r="E30">
        <f>COUNTIF(gamesToAssign!F$2:'gamesToAssign'!F$51,A30)</f>
        <v>1</v>
      </c>
    </row>
    <row r="31" spans="1:6" x14ac:dyDescent="0.25">
      <c r="A31" t="s">
        <v>52</v>
      </c>
      <c r="B31">
        <v>2122372</v>
      </c>
      <c r="C31">
        <v>3</v>
      </c>
      <c r="D31">
        <v>1</v>
      </c>
      <c r="E31">
        <f>COUNTIF(gamesToAssign!F$2:'gamesToAssign'!F$51,A31)</f>
        <v>1</v>
      </c>
    </row>
    <row r="32" spans="1:6" x14ac:dyDescent="0.25">
      <c r="A32" t="s">
        <v>68</v>
      </c>
      <c r="B32">
        <v>2122374</v>
      </c>
      <c r="C32">
        <v>1</v>
      </c>
      <c r="D32">
        <v>1</v>
      </c>
      <c r="E32">
        <f>COUNTIF(gamesToAssign!F$2:'gamesToAssign'!F$51,A32)</f>
        <v>1</v>
      </c>
    </row>
    <row r="33" spans="1:6" x14ac:dyDescent="0.25">
      <c r="A33" t="s">
        <v>57</v>
      </c>
      <c r="B33">
        <v>2122356</v>
      </c>
      <c r="C33">
        <v>6</v>
      </c>
      <c r="D33">
        <v>1</v>
      </c>
      <c r="E33">
        <f>COUNTIF(gamesToAssign!F$2:'gamesToAssign'!F$51,A33)</f>
        <v>1</v>
      </c>
    </row>
    <row r="34" spans="1:6" x14ac:dyDescent="0.25">
      <c r="A34" t="s">
        <v>67</v>
      </c>
      <c r="B34">
        <v>2122371</v>
      </c>
      <c r="C34">
        <v>1</v>
      </c>
      <c r="D34">
        <v>1</v>
      </c>
      <c r="E34">
        <f>COUNTIF(gamesToAssign!F$2:'gamesToAssign'!F$51,A34)</f>
        <v>0</v>
      </c>
      <c r="F34" t="s">
        <v>68</v>
      </c>
    </row>
    <row r="35" spans="1:6" x14ac:dyDescent="0.25">
      <c r="A35" t="s">
        <v>82</v>
      </c>
      <c r="B35">
        <v>961549</v>
      </c>
      <c r="C35">
        <v>1</v>
      </c>
      <c r="D35">
        <v>1</v>
      </c>
      <c r="E35">
        <f>COUNTIF(gamesToAssign!F$2:'gamesToAssign'!F$51,A35)</f>
        <v>1</v>
      </c>
    </row>
    <row r="36" spans="1:6" x14ac:dyDescent="0.25">
      <c r="A36" t="s">
        <v>54</v>
      </c>
      <c r="B36">
        <v>2122370</v>
      </c>
      <c r="C36">
        <v>3</v>
      </c>
      <c r="D36">
        <v>1</v>
      </c>
      <c r="E36">
        <f>COUNTIF(gamesToAssign!F$2:'gamesToAssign'!F$51,A36)</f>
        <v>1</v>
      </c>
    </row>
    <row r="37" spans="1:6" x14ac:dyDescent="0.25">
      <c r="A37" t="s">
        <v>63</v>
      </c>
      <c r="B37">
        <v>2122361</v>
      </c>
      <c r="C37">
        <v>1</v>
      </c>
      <c r="D37">
        <v>1</v>
      </c>
      <c r="E37">
        <f>COUNTIF(gamesToAssign!F$2:'gamesToAssign'!F$51,A37)</f>
        <v>0</v>
      </c>
      <c r="F37" t="s">
        <v>65</v>
      </c>
    </row>
    <row r="38" spans="1:6" x14ac:dyDescent="0.25">
      <c r="A38" t="s">
        <v>48</v>
      </c>
      <c r="B38">
        <v>2122381</v>
      </c>
      <c r="C38">
        <v>6</v>
      </c>
      <c r="D38">
        <v>1</v>
      </c>
      <c r="E38">
        <f>COUNTIF(gamesToAssign!F$2:'gamesToAssign'!F$51,A38)</f>
        <v>1</v>
      </c>
    </row>
    <row r="39" spans="1:6" x14ac:dyDescent="0.25">
      <c r="A39" t="s">
        <v>55</v>
      </c>
      <c r="B39">
        <v>1899161</v>
      </c>
      <c r="C39">
        <v>3</v>
      </c>
      <c r="D39">
        <v>0</v>
      </c>
      <c r="E39">
        <f>COUNTIF(gamesToAssign!F$2:'gamesToAssign'!F$51,A39)</f>
        <v>1</v>
      </c>
    </row>
    <row r="40" spans="1:6" x14ac:dyDescent="0.25">
      <c r="A40" t="s">
        <v>59</v>
      </c>
      <c r="B40">
        <v>1020591</v>
      </c>
      <c r="C40">
        <v>1</v>
      </c>
      <c r="D40">
        <v>0</v>
      </c>
      <c r="E40">
        <f>COUNTIF(gamesToAssign!F$2:'gamesToAssign'!F$51,A40)</f>
        <v>1</v>
      </c>
    </row>
    <row r="41" spans="1:6" x14ac:dyDescent="0.25">
      <c r="A41" t="s">
        <v>64</v>
      </c>
      <c r="B41">
        <v>2122364</v>
      </c>
      <c r="C41">
        <v>1</v>
      </c>
      <c r="D41">
        <v>0</v>
      </c>
      <c r="E41">
        <f>COUNTIF(gamesToAssign!F$2:'gamesToAssign'!F$51,A41)</f>
        <v>0</v>
      </c>
      <c r="F41" t="s">
        <v>65</v>
      </c>
    </row>
    <row r="42" spans="1:6" x14ac:dyDescent="0.25">
      <c r="A42" t="s">
        <v>65</v>
      </c>
      <c r="B42">
        <v>2122376</v>
      </c>
      <c r="C42">
        <v>2</v>
      </c>
      <c r="D42">
        <v>0</v>
      </c>
      <c r="E42">
        <f>COUNTIF(gamesToAssign!F$2:'gamesToAssign'!F$51,A42)</f>
        <v>1</v>
      </c>
    </row>
    <row r="43" spans="1:6" x14ac:dyDescent="0.25">
      <c r="A43" t="s">
        <v>66</v>
      </c>
      <c r="B43">
        <v>1899183</v>
      </c>
      <c r="C43">
        <v>2</v>
      </c>
      <c r="D43">
        <v>0</v>
      </c>
      <c r="E43">
        <f>COUNTIF(gamesToAssign!F$2:'gamesToAssign'!F$51,A43)</f>
        <v>1</v>
      </c>
    </row>
    <row r="44" spans="1:6" x14ac:dyDescent="0.25">
      <c r="A44" t="s">
        <v>76</v>
      </c>
      <c r="B44">
        <v>961597</v>
      </c>
      <c r="C44">
        <v>1</v>
      </c>
      <c r="D44">
        <v>0</v>
      </c>
      <c r="E44">
        <f>COUNTIF(gamesToAssign!F$2:'gamesToAssign'!F$51,A44)</f>
        <v>1</v>
      </c>
    </row>
  </sheetData>
  <autoFilter ref="A1:F4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gamesToAssign</vt:lpstr>
      <vt:lpstr>RequestCount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Fairweather</dc:creator>
  <cp:lastModifiedBy>James Fairweather</cp:lastModifiedBy>
  <dcterms:created xsi:type="dcterms:W3CDTF">2026-04-24T15:38:41Z</dcterms:created>
  <dcterms:modified xsi:type="dcterms:W3CDTF">2026-04-24T18:12:42Z</dcterms:modified>
</cp:coreProperties>
</file>